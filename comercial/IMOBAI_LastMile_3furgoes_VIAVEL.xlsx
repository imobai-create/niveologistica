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remissas" sheetId="2" state="visible" r:id="rId4"/>
    <sheet name="CAPEX" sheetId="3" state="visible" r:id="rId5"/>
    <sheet name="OPEX" sheetId="4" state="visible" r:id="rId6"/>
    <sheet name="Projeção &amp; Viabilida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<sst xmlns="http://schemas.openxmlformats.org/spreadsheetml/2006/main" count="162" uniqueCount="121">
  <si>
    <t xml:space="preserve">RESUMO EXECUTIVO — VIABILIDADE</t>
  </si>
  <si>
    <t xml:space="preserve">Last Mile Elétrico | Belo Horizonte | Frota inicial 4 furgões</t>
  </si>
  <si>
    <t xml:space="preserve">Investimento inicial (CAPEX)</t>
  </si>
  <si>
    <t xml:space="preserve">OPEX anual (frota cheia)</t>
  </si>
  <si>
    <t xml:space="preserve">Indicador</t>
  </si>
  <si>
    <t xml:space="preserve">Conservador</t>
  </si>
  <si>
    <t xml:space="preserve">Realista</t>
  </si>
  <si>
    <t xml:space="preserve">Premium</t>
  </si>
  <si>
    <t xml:space="preserve">VPL (R$)</t>
  </si>
  <si>
    <t xml:space="preserve">TIR (a.a.)</t>
  </si>
  <si>
    <t xml:space="preserve">Payback descontado (anos)</t>
  </si>
  <si>
    <t xml:space="preserve">Margem EBITDA (Ano 3)</t>
  </si>
  <si>
    <t xml:space="preserve">Receita Ano 3 (R$)</t>
  </si>
  <si>
    <t xml:space="preserve">Veredito (VPL vs. 0 e TIR vs. TMA 18%):</t>
  </si>
  <si>
    <t xml:space="preserve">LEITURA RÁPIDA</t>
  </si>
  <si>
    <t xml:space="preserve">• A viabilidade NÃO depende do furgão — depende do PREÇO/posicionamento. Com a mesma frota, o negócio</t>
  </si>
  <si>
    <t xml:space="preserve">  perde dinheiro como agregado puro (commodity) e só remunera o capital no nicho expresso/B2B.</t>
  </si>
  <si>
    <t xml:space="preserve">• O capex de frota elétrica nova é o que afunda o cenário realista. Alavancas: frota seminova/combustão,</t>
  </si>
  <si>
    <t xml:space="preserve">  começar com 2 furgões, ou ancorar 1-2 contratos âncora antes de comprar veículos.</t>
  </si>
  <si>
    <t xml:space="preserve">• Edite as células AZUIS na aba Premissas para testar suas próprias hipóteses.</t>
  </si>
  <si>
    <t xml:space="preserve">IMOBAI Logística — Last Mile Elétrico BH | PREMISSAS</t>
  </si>
  <si>
    <t xml:space="preserve">Células azuis = inputs editáveis. Altere para rodar seus próprios cenários.</t>
  </si>
  <si>
    <t xml:space="preserve">OPERACIONAIS</t>
  </si>
  <si>
    <t xml:space="preserve">Nº de furgões (frota inicial)</t>
  </si>
  <si>
    <t xml:space="preserve">Entregas por furgão / dia (produtivas)</t>
  </si>
  <si>
    <t xml:space="preserve">dropoffs/dia em rota densa</t>
  </si>
  <si>
    <t xml:space="preserve">Dias úteis / mês</t>
  </si>
  <si>
    <t xml:space="preserve">Entregas / ano (100% capacidade)</t>
  </si>
  <si>
    <t xml:space="preserve">CURVA DE MATURAÇÃO (ocupação da frota)</t>
  </si>
  <si>
    <t xml:space="preserve">Ano 1</t>
  </si>
  <si>
    <t xml:space="preserve">Ano 2</t>
  </si>
  <si>
    <t xml:space="preserve">Ano 3</t>
  </si>
  <si>
    <t xml:space="preserve">Ano 4</t>
  </si>
  <si>
    <t xml:space="preserve">leve expansão de demanda</t>
  </si>
  <si>
    <t xml:space="preserve">Ano 5</t>
  </si>
  <si>
    <t xml:space="preserve">PREÇO MÉDIO POR ENTREGA (R$) — driver de cenário</t>
  </si>
  <si>
    <t xml:space="preserve">Cenário Conservador (commodity ML/Amazon)</t>
  </si>
  <si>
    <t xml:space="preserve">preço de agregado puro</t>
  </si>
  <si>
    <t xml:space="preserve">Cenário Realista (mix commodity + alguns expressos)</t>
  </si>
  <si>
    <t xml:space="preserve">Cenário Premium (nicho expresso/B2B/alto valor)</t>
  </si>
  <si>
    <t xml:space="preserve">Reajuste de preço a.a.</t>
  </si>
  <si>
    <t xml:space="preserve">CUSTO DE PESSOAL</t>
  </si>
  <si>
    <t xml:space="preserve">Nº motoristas</t>
  </si>
  <si>
    <t xml:space="preserve">Salário motorista / mês</t>
  </si>
  <si>
    <t xml:space="preserve">Encargos sobre salário</t>
  </si>
  <si>
    <t xml:space="preserve">CLT: ~70% (INSS, FGTS, férias, 13º, etc.)</t>
  </si>
  <si>
    <t xml:space="preserve">Salário coordenador de operação / mês</t>
  </si>
  <si>
    <t xml:space="preserve">ENERGIA (recarga elétrica)</t>
  </si>
  <si>
    <t xml:space="preserve">km por furgão / dia</t>
  </si>
  <si>
    <t xml:space="preserve">real urbano BH; eT3 autonomia ~170km</t>
  </si>
  <si>
    <t xml:space="preserve">Consumo (kWh / km)</t>
  </si>
  <si>
    <t xml:space="preserve">Tarifa de energia (R$ / kWh)</t>
  </si>
  <si>
    <t xml:space="preserve">comercial CEMIG aprox.</t>
  </si>
  <si>
    <t xml:space="preserve">OUTROS CUSTOS MENSAIS</t>
  </si>
  <si>
    <t xml:space="preserve">Aluguel base / cross-dock</t>
  </si>
  <si>
    <t xml:space="preserve">galpão ~250m² região metro BH</t>
  </si>
  <si>
    <t xml:space="preserve">Seguro por furgão / mês</t>
  </si>
  <si>
    <t xml:space="preserve">EV de alto valor encarece</t>
  </si>
  <si>
    <t xml:space="preserve">Manutenção por furgão / mês</t>
  </si>
  <si>
    <t xml:space="preserve">EV: baixa, sem câmbio/injeção</t>
  </si>
  <si>
    <t xml:space="preserve">Software / TMS / roteirização / mês</t>
  </si>
  <si>
    <t xml:space="preserve">Telecom / dispositivos / mês</t>
  </si>
  <si>
    <t xml:space="preserve">Admin / contábil / jurídico / mês</t>
  </si>
  <si>
    <t xml:space="preserve">Marketing / vendas / mês</t>
  </si>
  <si>
    <t xml:space="preserve">TRIBUTOS E FINANCEIRO</t>
  </si>
  <si>
    <t xml:space="preserve">Impostos sobre receita (efetivo)</t>
  </si>
  <si>
    <t xml:space="preserve">Simples/Presumido transporte — VALIDAR c/ contador</t>
  </si>
  <si>
    <t xml:space="preserve">TMA / taxa de desconto (a.a.)</t>
  </si>
  <si>
    <t xml:space="preserve">Selic alta + prêmio de risco</t>
  </si>
  <si>
    <t xml:space="preserve">Reinvestimento (capex manut.) / ano</t>
  </si>
  <si>
    <t xml:space="preserve">Valor residual da frota (% do capex veículos, ano 5)</t>
  </si>
  <si>
    <t xml:space="preserve">Horizonte de análise (anos)</t>
  </si>
  <si>
    <t xml:space="preserve">INVESTIMENTO INICIAL (CAPEX)</t>
  </si>
  <si>
    <t xml:space="preserve">Item</t>
  </si>
  <si>
    <t xml:space="preserve">Qtd</t>
  </si>
  <si>
    <t xml:space="preserve">Valor unitário (R$)</t>
  </si>
  <si>
    <t xml:space="preserve">Total (R$)</t>
  </si>
  <si>
    <t xml:space="preserve">Furgão elétrico BYD eT3 (novo)</t>
  </si>
  <si>
    <t xml:space="preserve">Infraestrutura de recarga (wallboxes + entrada de energia)</t>
  </si>
  <si>
    <t xml:space="preserve">Setup base/cross-dock (prateleiras, segurança, TI)</t>
  </si>
  <si>
    <t xml:space="preserve">Implantação de software / TMS</t>
  </si>
  <si>
    <t xml:space="preserve">Scanners / dispositivos / coletores</t>
  </si>
  <si>
    <t xml:space="preserve">Licenciamento e abertura (RNTRC, ANTT, contábil, jurídico)</t>
  </si>
  <si>
    <t xml:space="preserve">Capital de giro inicial (colchão 2-3 meses)</t>
  </si>
  <si>
    <t xml:space="preserve">TOTAL CAPEX</t>
  </si>
  <si>
    <t xml:space="preserve">Nota: frota elétrica nova ~ dobra o capex de veículos vs. combustão seminova (Fiorino/Kangoo ~R$110-170k).</t>
  </si>
  <si>
    <t xml:space="preserve">CUSTO OPERACIONAL (OPEX)</t>
  </si>
  <si>
    <t xml:space="preserve">Mensal (R$)</t>
  </si>
  <si>
    <t xml:space="preserve">Anual (R$)</t>
  </si>
  <si>
    <t xml:space="preserve">Motoristas (frota)</t>
  </si>
  <si>
    <t xml:space="preserve">Coordenador de operação</t>
  </si>
  <si>
    <t xml:space="preserve">Energia / recarga</t>
  </si>
  <si>
    <t xml:space="preserve">Seguro da frota</t>
  </si>
  <si>
    <t xml:space="preserve">Manutenção da frota</t>
  </si>
  <si>
    <t xml:space="preserve">Software / TMS</t>
  </si>
  <si>
    <t xml:space="preserve">Telecom / dispositivos</t>
  </si>
  <si>
    <t xml:space="preserve">Admin / contábil / jurídico</t>
  </si>
  <si>
    <t xml:space="preserve">Marketing / vendas</t>
  </si>
  <si>
    <t xml:space="preserve">TOTAL OPEX</t>
  </si>
  <si>
    <t xml:space="preserve">PROJEÇÃO 5 ANOS, FLUXO DE CAIXA E VIABILIDADE</t>
  </si>
  <si>
    <t xml:space="preserve">Ano 0</t>
  </si>
  <si>
    <t xml:space="preserve">CENÁRIO CONSERVADOR (commodity)</t>
  </si>
  <si>
    <t xml:space="preserve">Ocupação da frota (%)</t>
  </si>
  <si>
    <t xml:space="preserve">Volume (entregas/ano)</t>
  </si>
  <si>
    <t xml:space="preserve">Preço médio (R$/entrega)</t>
  </si>
  <si>
    <t xml:space="preserve">Receita Bruta</t>
  </si>
  <si>
    <t xml:space="preserve">(-) Impostos sobre receita</t>
  </si>
  <si>
    <t xml:space="preserve">Receita Líquida</t>
  </si>
  <si>
    <t xml:space="preserve">(-) OPEX (custos operacionais)</t>
  </si>
  <si>
    <t xml:space="preserve">EBITDA</t>
  </si>
  <si>
    <t xml:space="preserve">Margem EBITDA (%)</t>
  </si>
  <si>
    <t xml:space="preserve">(-) Depreciação</t>
  </si>
  <si>
    <t xml:space="preserve">EBIT</t>
  </si>
  <si>
    <t xml:space="preserve">Fluxo de Caixa Livre</t>
  </si>
  <si>
    <t xml:space="preserve">FCL descontado</t>
  </si>
  <si>
    <t xml:space="preserve">FCL descontado acumulado</t>
  </si>
  <si>
    <t xml:space="preserve">VPL (Valor Presente Líquido)</t>
  </si>
  <si>
    <t xml:space="preserve">TIR (Taxa Interna de Retorno)</t>
  </si>
  <si>
    <t xml:space="preserve">Payback descontado (anos, aprox.)</t>
  </si>
  <si>
    <t xml:space="preserve">CENÁRIO REALISTA (mix)</t>
  </si>
  <si>
    <t xml:space="preserve">CENÁRIO PREMIUM (nicho expresso)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</si>
</sst>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;&quot;(R$ &quot;#,##0\);\–"/>
    <numFmt numFmtId="166" formatCode="0.0%"/>
    <numFmt numFmtId="167" formatCode="0"/>
    <numFmt numFmtId="168" formatCode="#,##0"/>
    <numFmt numFmtId="169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FFFFF"/>
      </patternFill>
    </fill>
    <fill>
      <patternFill patternType="solid">
        <fgColor rgb="FFFFC7CE"/>
        <bgColor rgb="FFD9E1F2"/>
      </patternFill>
    </fill>
    <fill>
      <patternFill patternType="solid">
        <fgColor rgb="FFC6EF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C4" s="5" t="n">
        <f aca="false">CAPEX!$D$11</f>
        <v>1130000</v>
      </c>
    </row>
    <row r="5" customFormat="false" ht="15" hidden="false" customHeight="true" outlineLevel="0" collapsed="false">
      <c r="A5" s="4" t="s">
        <v>3</v>
      </c>
      <c r="C5" s="5" t="n">
        <f aca="false">OPEX!$C$14</f>
        <v>421429.2</v>
      </c>
    </row>
    <row r="7" customFormat="false" ht="15" hidden="false" customHeight="true" outlineLevel="0" collapsed="false">
      <c r="A7" s="6" t="s">
        <v>4</v>
      </c>
      <c r="B7" s="6" t="s">
        <v>5</v>
      </c>
      <c r="C7" s="6" t="s">
        <v>6</v>
      </c>
      <c r="D7" s="6" t="s">
        <v>7</v>
      </c>
    </row>
    <row r="8" customFormat="false" ht="15" hidden="false" customHeight="true" outlineLevel="0" collapsed="false">
      <c r="A8" s="7" t="s">
        <v>8</v>
      </c>
      <c r="B8" s="8" t="n">
        <f aca="false">'Projeção &amp; Viabilidade'!C21</f>
        <v>-1531254.22188183</v>
      </c>
      <c r="C8" s="8" t="n">
        <f aca="false">'Projeção &amp; Viabilidade'!C42</f>
        <v>-814721.251777819</v>
      </c>
      <c r="D8" s="8" t="n">
        <f aca="false">'Projeção &amp; Viabilidade'!C63</f>
        <v>188424.9063678</v>
      </c>
    </row>
    <row r="9" customFormat="false" ht="15" hidden="false" customHeight="true" outlineLevel="0" collapsed="false">
      <c r="A9" s="7" t="s">
        <v>9</v>
      </c>
      <c r="B9" s="9" t="n">
        <f aca="false">'Projeção &amp; Viabilidade'!C22</f>
        <v>-1</v>
      </c>
      <c r="C9" s="9" t="n">
        <f aca="false">'Projeção &amp; Viabilidade'!C43</f>
        <v>-0.0879482502588172</v>
      </c>
      <c r="D9" s="9" t="n">
        <f aca="false">'Projeção &amp; Viabilidade'!C64</f>
        <v>0.233387300814567</v>
      </c>
    </row>
    <row r="10" customFormat="false" ht="15" hidden="false" customHeight="true" outlineLevel="0" collapsed="false">
      <c r="A10" s="7" t="s">
        <v>10</v>
      </c>
      <c r="B10" s="10" t="n">
        <f aca="false">'Projeção &amp; Viabilidade'!C23</f>
        <v>6</v>
      </c>
      <c r="C10" s="10" t="n">
        <f aca="false">'Projeção &amp; Viabilidade'!C44</f>
        <v>6</v>
      </c>
      <c r="D10" s="10" t="n">
        <f aca="false">'Projeção &amp; Viabilidade'!C65</f>
        <v>5</v>
      </c>
    </row>
    <row r="11" customFormat="false" ht="15" hidden="false" customHeight="true" outlineLevel="0" collapsed="false">
      <c r="A11" s="7" t="s">
        <v>11</v>
      </c>
      <c r="B11" s="9" t="n">
        <f aca="false">'Projeção &amp; Viabilidade'!F14</f>
        <v>-0.293251922578846</v>
      </c>
      <c r="C11" s="9" t="n">
        <f aca="false">'Projeção &amp; Viabilidade'!F35</f>
        <v>0.203680769502448</v>
      </c>
      <c r="D11" s="9" t="n">
        <f aca="false">'Projeção &amp; Viabilidade'!F56</f>
        <v>0.435582692473718</v>
      </c>
    </row>
    <row r="12" customFormat="false" ht="15" hidden="false" customHeight="true" outlineLevel="0" collapsed="false">
      <c r="A12" s="7" t="s">
        <v>12</v>
      </c>
      <c r="B12" s="8" t="n">
        <f aca="false">'Projeção &amp; Viabilidade'!F9</f>
        <v>385482.24</v>
      </c>
      <c r="C12" s="8" t="n">
        <f aca="false">'Projeção &amp; Viabilidade'!F30</f>
        <v>706717.44</v>
      </c>
      <c r="D12" s="8" t="n">
        <f aca="false">'Projeção &amp; Viabilidade'!F51</f>
        <v>1156446.72</v>
      </c>
    </row>
    <row r="14" customFormat="false" ht="15" hidden="false" customHeight="true" outlineLevel="0" collapsed="false">
      <c r="A14" s="4" t="s">
        <v>13</v>
      </c>
      <c r="B14" s="11" t="str">
        <f aca="false">IF('Projeção &amp; Viabilidade'!C21&gt;0,"VIÁVEL","INVIÁVEL")</f>
        <v>INVIÁVEL</v>
      </c>
      <c r="C14" s="11" t="str">
        <f aca="false">IF('Projeção &amp; Viabilidade'!C42&gt;0,"VIÁVEL","INVIÁVEL")</f>
        <v>INVIÁVEL</v>
      </c>
      <c r="D14" s="11" t="str">
        <f aca="false">IF('Projeção &amp; Viabilidade'!C63&gt;0,"VIÁVEL","INVIÁVEL")</f>
        <v>VIÁVEL</v>
      </c>
    </row>
    <row r="16" customFormat="false" ht="15" hidden="false" customHeight="true" outlineLevel="0" collapsed="false">
      <c r="A16" s="4" t="s">
        <v>14</v>
      </c>
    </row>
    <row r="17" customFormat="false" ht="15" hidden="false" customHeight="true" outlineLevel="0" collapsed="false">
      <c r="A17" s="3" t="s">
        <v>15</v>
      </c>
    </row>
    <row r="18" customFormat="false" ht="15" hidden="false" customHeight="true" outlineLevel="0" collapsed="false">
      <c r="A18" s="3" t="s">
        <v>16</v>
      </c>
    </row>
    <row r="19" customFormat="false" ht="15" hidden="false" customHeight="true" outlineLevel="0" collapsed="false">
      <c r="A19" s="3" t="s">
        <v>17</v>
      </c>
    </row>
    <row r="20" customFormat="false" ht="15" hidden="false" customHeight="true" outlineLevel="0" collapsed="false">
      <c r="A20" s="3" t="s">
        <v>18</v>
      </c>
    </row>
    <row r="21" customFormat="false" ht="15" hidden="false" customHeight="true" outlineLevel="0" collapsed="false">
      <c r="A21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42"/>
  </cols>
  <sheetData>
    <row r="1" customFormat="false" ht="17.25" hidden="false" customHeight="true" outlineLevel="0" collapsed="false">
      <c r="A1" s="2" t="s">
        <v>20</v>
      </c>
    </row>
    <row r="2" customFormat="false" ht="15" hidden="false" customHeight="true" outlineLevel="0" collapsed="false">
      <c r="A2" s="3" t="s">
        <v>21</v>
      </c>
    </row>
    <row r="4" customFormat="false" ht="15" hidden="false" customHeight="true" outlineLevel="0" collapsed="false">
      <c r="A4" s="12" t="s">
        <v>22</v>
      </c>
      <c r="B4" s="13"/>
    </row>
    <row r="5" customFormat="false" ht="15" hidden="false" customHeight="true" outlineLevel="0" collapsed="false">
      <c r="A5" s="7" t="s">
        <v>23</v>
      </c>
      <c r="B5" s="14" t="n">
        <v>3</v>
      </c>
    </row>
    <row r="6" customFormat="false" ht="15" hidden="false" customHeight="true" outlineLevel="0" collapsed="false">
      <c r="A6" s="7" t="s">
        <v>24</v>
      </c>
      <c r="B6" s="14" t="n">
        <v>75</v>
      </c>
      <c r="C6" s="3" t="s">
        <v>25</v>
      </c>
    </row>
    <row r="7" customFormat="false" ht="15" hidden="false" customHeight="true" outlineLevel="0" collapsed="false">
      <c r="A7" s="7" t="s">
        <v>26</v>
      </c>
      <c r="B7" s="14" t="n">
        <v>22</v>
      </c>
    </row>
    <row r="8" customFormat="false" ht="15" hidden="false" customHeight="true" outlineLevel="0" collapsed="false">
      <c r="A8" s="7" t="s">
        <v>27</v>
      </c>
      <c r="B8" s="15" t="n">
        <f aca="false">B5*B6*B7*12</f>
        <v>59400</v>
      </c>
    </row>
    <row r="10" customFormat="false" ht="15" hidden="false" customHeight="true" outlineLevel="0" collapsed="false">
      <c r="A10" s="12" t="s">
        <v>28</v>
      </c>
      <c r="B10" s="13"/>
    </row>
    <row r="11" customFormat="false" ht="15" hidden="false" customHeight="true" outlineLevel="0" collapsed="false">
      <c r="A11" s="7" t="s">
        <v>29</v>
      </c>
      <c r="B11" s="16" t="n">
        <v>0.65</v>
      </c>
    </row>
    <row r="12" customFormat="false" ht="15" hidden="false" customHeight="true" outlineLevel="0" collapsed="false">
      <c r="A12" s="7" t="s">
        <v>30</v>
      </c>
      <c r="B12" s="16" t="n">
        <v>0.85</v>
      </c>
    </row>
    <row r="13" customFormat="false" ht="15" hidden="false" customHeight="true" outlineLevel="0" collapsed="false">
      <c r="A13" s="7" t="s">
        <v>31</v>
      </c>
      <c r="B13" s="16" t="n">
        <v>1</v>
      </c>
    </row>
    <row r="14" customFormat="false" ht="15" hidden="false" customHeight="true" outlineLevel="0" collapsed="false">
      <c r="A14" s="7" t="s">
        <v>32</v>
      </c>
      <c r="B14" s="16" t="n">
        <v>1.05</v>
      </c>
      <c r="C14" s="3" t="s">
        <v>33</v>
      </c>
    </row>
    <row r="15" customFormat="false" ht="15" hidden="false" customHeight="true" outlineLevel="0" collapsed="false">
      <c r="A15" s="7" t="s">
        <v>34</v>
      </c>
      <c r="B15" s="16" t="n">
        <v>1.1</v>
      </c>
    </row>
    <row r="17" customFormat="false" ht="15" hidden="false" customHeight="true" outlineLevel="0" collapsed="false">
      <c r="A17" s="12" t="s">
        <v>35</v>
      </c>
      <c r="B17" s="13"/>
    </row>
    <row r="18" customFormat="false" ht="15" hidden="false" customHeight="true" outlineLevel="0" collapsed="false">
      <c r="A18" s="7" t="s">
        <v>36</v>
      </c>
      <c r="B18" s="17" t="n">
        <v>6</v>
      </c>
      <c r="C18" s="3" t="s">
        <v>37</v>
      </c>
    </row>
    <row r="19" customFormat="false" ht="15" hidden="false" customHeight="true" outlineLevel="0" collapsed="false">
      <c r="A19" s="7" t="s">
        <v>38</v>
      </c>
      <c r="B19" s="17" t="n">
        <v>11</v>
      </c>
    </row>
    <row r="20" customFormat="false" ht="15" hidden="false" customHeight="true" outlineLevel="0" collapsed="false">
      <c r="A20" s="7" t="s">
        <v>39</v>
      </c>
      <c r="B20" s="17" t="n">
        <v>18</v>
      </c>
    </row>
    <row r="21" customFormat="false" ht="15" hidden="false" customHeight="true" outlineLevel="0" collapsed="false">
      <c r="A21" s="7" t="s">
        <v>40</v>
      </c>
      <c r="B21" s="16" t="n">
        <v>0.04</v>
      </c>
    </row>
    <row r="23" customFormat="false" ht="15" hidden="false" customHeight="true" outlineLevel="0" collapsed="false">
      <c r="A23" s="12" t="s">
        <v>41</v>
      </c>
      <c r="B23" s="13"/>
    </row>
    <row r="24" customFormat="false" ht="15" hidden="false" customHeight="true" outlineLevel="0" collapsed="false">
      <c r="A24" s="7" t="s">
        <v>42</v>
      </c>
      <c r="B24" s="7" t="n">
        <f aca="false">B5</f>
        <v>3</v>
      </c>
    </row>
    <row r="25" customFormat="false" ht="15" hidden="false" customHeight="true" outlineLevel="0" collapsed="false">
      <c r="A25" s="7" t="s">
        <v>43</v>
      </c>
      <c r="B25" s="17" t="n">
        <v>3000</v>
      </c>
    </row>
    <row r="26" customFormat="false" ht="15" hidden="false" customHeight="true" outlineLevel="0" collapsed="false">
      <c r="A26" s="7" t="s">
        <v>44</v>
      </c>
      <c r="B26" s="16" t="n">
        <v>0.7</v>
      </c>
      <c r="C26" s="3" t="s">
        <v>45</v>
      </c>
    </row>
    <row r="27" customFormat="false" ht="15" hidden="false" customHeight="true" outlineLevel="0" collapsed="false">
      <c r="A27" s="7" t="s">
        <v>46</v>
      </c>
      <c r="B27" s="17" t="n">
        <v>0</v>
      </c>
    </row>
    <row r="29" customFormat="false" ht="15" hidden="false" customHeight="true" outlineLevel="0" collapsed="false">
      <c r="A29" s="12" t="s">
        <v>47</v>
      </c>
      <c r="B29" s="13"/>
    </row>
    <row r="30" customFormat="false" ht="15" hidden="false" customHeight="true" outlineLevel="0" collapsed="false">
      <c r="A30" s="7" t="s">
        <v>48</v>
      </c>
      <c r="B30" s="14" t="n">
        <v>150</v>
      </c>
      <c r="C30" s="3" t="s">
        <v>49</v>
      </c>
    </row>
    <row r="31" customFormat="false" ht="15" hidden="false" customHeight="true" outlineLevel="0" collapsed="false">
      <c r="A31" s="7" t="s">
        <v>50</v>
      </c>
      <c r="B31" s="14" t="n">
        <v>0.22</v>
      </c>
    </row>
    <row r="32" customFormat="false" ht="15" hidden="false" customHeight="true" outlineLevel="0" collapsed="false">
      <c r="A32" s="7" t="s">
        <v>51</v>
      </c>
      <c r="B32" s="17" t="n">
        <v>0.95</v>
      </c>
      <c r="C32" s="3" t="s">
        <v>52</v>
      </c>
    </row>
    <row r="34" customFormat="false" ht="15" hidden="false" customHeight="true" outlineLevel="0" collapsed="false">
      <c r="A34" s="12" t="s">
        <v>53</v>
      </c>
      <c r="B34" s="13"/>
    </row>
    <row r="35" customFormat="false" ht="15" hidden="false" customHeight="true" outlineLevel="0" collapsed="false">
      <c r="A35" s="7" t="s">
        <v>54</v>
      </c>
      <c r="B35" s="17" t="n">
        <v>5000</v>
      </c>
      <c r="C35" s="3" t="s">
        <v>55</v>
      </c>
    </row>
    <row r="36" customFormat="false" ht="15" hidden="false" customHeight="true" outlineLevel="0" collapsed="false">
      <c r="A36" s="7" t="s">
        <v>56</v>
      </c>
      <c r="B36" s="17" t="n">
        <v>900</v>
      </c>
      <c r="C36" s="3" t="s">
        <v>57</v>
      </c>
    </row>
    <row r="37" customFormat="false" ht="15" hidden="false" customHeight="true" outlineLevel="0" collapsed="false">
      <c r="A37" s="7" t="s">
        <v>58</v>
      </c>
      <c r="B37" s="17" t="n">
        <v>450</v>
      </c>
      <c r="C37" s="3" t="s">
        <v>59</v>
      </c>
    </row>
    <row r="38" customFormat="false" ht="15" hidden="false" customHeight="true" outlineLevel="0" collapsed="false">
      <c r="A38" s="7" t="s">
        <v>60</v>
      </c>
      <c r="B38" s="17" t="n">
        <v>2200</v>
      </c>
    </row>
    <row r="39" customFormat="false" ht="15" hidden="false" customHeight="true" outlineLevel="0" collapsed="false">
      <c r="A39" s="7" t="s">
        <v>61</v>
      </c>
      <c r="B39" s="17" t="n">
        <v>1500</v>
      </c>
    </row>
    <row r="40" customFormat="false" ht="15" hidden="false" customHeight="true" outlineLevel="0" collapsed="false">
      <c r="A40" s="7" t="s">
        <v>62</v>
      </c>
      <c r="B40" s="17" t="n">
        <v>3500</v>
      </c>
    </row>
    <row r="41" customFormat="false" ht="15" hidden="false" customHeight="true" outlineLevel="0" collapsed="false">
      <c r="A41" s="7" t="s">
        <v>63</v>
      </c>
      <c r="B41" s="17" t="n">
        <v>1500</v>
      </c>
    </row>
    <row r="43" customFormat="false" ht="15" hidden="false" customHeight="true" outlineLevel="0" collapsed="false">
      <c r="A43" s="12" t="s">
        <v>64</v>
      </c>
      <c r="B43" s="13"/>
    </row>
    <row r="44" customFormat="false" ht="15" hidden="false" customHeight="true" outlineLevel="0" collapsed="false">
      <c r="A44" s="7" t="s">
        <v>65</v>
      </c>
      <c r="B44" s="16" t="n">
        <v>0.2</v>
      </c>
      <c r="C44" s="3" t="s">
        <v>66</v>
      </c>
    </row>
    <row r="45" customFormat="false" ht="15" hidden="false" customHeight="true" outlineLevel="0" collapsed="false">
      <c r="A45" s="7" t="s">
        <v>67</v>
      </c>
      <c r="B45" s="16" t="n">
        <v>0.18</v>
      </c>
      <c r="C45" s="3" t="s">
        <v>68</v>
      </c>
    </row>
    <row r="46" customFormat="false" ht="15" hidden="false" customHeight="true" outlineLevel="0" collapsed="false">
      <c r="A46" s="7" t="s">
        <v>69</v>
      </c>
      <c r="B46" s="17" t="n">
        <v>20000</v>
      </c>
    </row>
    <row r="47" customFormat="false" ht="15" hidden="false" customHeight="true" outlineLevel="0" collapsed="false">
      <c r="A47" s="7" t="s">
        <v>70</v>
      </c>
      <c r="B47" s="16" t="n">
        <v>0.35</v>
      </c>
    </row>
    <row r="48" customFormat="false" ht="15" hidden="false" customHeight="true" outlineLevel="0" collapsed="false">
      <c r="A48" s="7" t="s">
        <v>71</v>
      </c>
      <c r="B48" s="14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4" min="2" style="1" width="18"/>
  </cols>
  <sheetData>
    <row r="1" customFormat="false" ht="17.25" hidden="false" customHeight="true" outlineLevel="0" collapsed="false">
      <c r="A1" s="2" t="s">
        <v>72</v>
      </c>
    </row>
    <row r="3" customFormat="false" ht="15" hidden="false" customHeight="true" outlineLevel="0" collapsed="false">
      <c r="A3" s="6" t="s">
        <v>73</v>
      </c>
      <c r="B3" s="6" t="s">
        <v>74</v>
      </c>
      <c r="C3" s="6" t="s">
        <v>75</v>
      </c>
      <c r="D3" s="6" t="s">
        <v>76</v>
      </c>
    </row>
    <row r="4" customFormat="false" ht="15" hidden="false" customHeight="true" outlineLevel="0" collapsed="false">
      <c r="A4" s="7" t="s">
        <v>77</v>
      </c>
      <c r="B4" s="18" t="n">
        <f aca="false">Premissas!B5</f>
        <v>3</v>
      </c>
      <c r="C4" s="17" t="n">
        <v>260000</v>
      </c>
      <c r="D4" s="19" t="n">
        <f aca="false">B4*C4</f>
        <v>780000</v>
      </c>
    </row>
    <row r="5" customFormat="false" ht="15" hidden="false" customHeight="true" outlineLevel="0" collapsed="false">
      <c r="A5" s="7" t="s">
        <v>78</v>
      </c>
      <c r="B5" s="20" t="n">
        <v>1</v>
      </c>
      <c r="C5" s="17" t="n">
        <v>40000</v>
      </c>
      <c r="D5" s="19" t="n">
        <f aca="false">B5*C5</f>
        <v>40000</v>
      </c>
    </row>
    <row r="6" customFormat="false" ht="15" hidden="false" customHeight="true" outlineLevel="0" collapsed="false">
      <c r="A6" s="7" t="s">
        <v>79</v>
      </c>
      <c r="B6" s="20" t="n">
        <v>1</v>
      </c>
      <c r="C6" s="17" t="n">
        <v>70000</v>
      </c>
      <c r="D6" s="19" t="n">
        <f aca="false">B6*C6</f>
        <v>70000</v>
      </c>
    </row>
    <row r="7" customFormat="false" ht="15" hidden="false" customHeight="true" outlineLevel="0" collapsed="false">
      <c r="A7" s="7" t="s">
        <v>80</v>
      </c>
      <c r="B7" s="20" t="n">
        <v>1</v>
      </c>
      <c r="C7" s="17" t="n">
        <v>40000</v>
      </c>
      <c r="D7" s="19" t="n">
        <f aca="false">B7*C7</f>
        <v>40000</v>
      </c>
    </row>
    <row r="8" customFormat="false" ht="15" hidden="false" customHeight="true" outlineLevel="0" collapsed="false">
      <c r="A8" s="7" t="s">
        <v>81</v>
      </c>
      <c r="B8" s="20" t="n">
        <v>1</v>
      </c>
      <c r="C8" s="17" t="n">
        <v>15000</v>
      </c>
      <c r="D8" s="19" t="n">
        <f aca="false">B8*C8</f>
        <v>15000</v>
      </c>
    </row>
    <row r="9" customFormat="false" ht="15" hidden="false" customHeight="true" outlineLevel="0" collapsed="false">
      <c r="A9" s="7" t="s">
        <v>82</v>
      </c>
      <c r="B9" s="20" t="n">
        <v>1</v>
      </c>
      <c r="C9" s="17" t="n">
        <v>35000</v>
      </c>
      <c r="D9" s="19" t="n">
        <f aca="false">B9*C9</f>
        <v>35000</v>
      </c>
    </row>
    <row r="10" customFormat="false" ht="15" hidden="false" customHeight="true" outlineLevel="0" collapsed="false">
      <c r="A10" s="7" t="s">
        <v>83</v>
      </c>
      <c r="B10" s="20" t="n">
        <v>1</v>
      </c>
      <c r="C10" s="17" t="n">
        <v>150000</v>
      </c>
      <c r="D10" s="19" t="n">
        <f aca="false">B10*C10</f>
        <v>150000</v>
      </c>
    </row>
    <row r="11" customFormat="false" ht="15" hidden="false" customHeight="true" outlineLevel="0" collapsed="false">
      <c r="A11" s="21" t="s">
        <v>84</v>
      </c>
      <c r="D11" s="22" t="n">
        <f aca="false">SUM(D4:D10)</f>
        <v>1130000</v>
      </c>
    </row>
    <row r="13" customFormat="false" ht="15" hidden="false" customHeight="true" outlineLevel="0" collapsed="false">
      <c r="A13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8"/>
  </cols>
  <sheetData>
    <row r="1" customFormat="false" ht="17.25" hidden="false" customHeight="true" outlineLevel="0" collapsed="false">
      <c r="A1" s="2" t="s">
        <v>86</v>
      </c>
    </row>
    <row r="3" customFormat="false" ht="15" hidden="false" customHeight="true" outlineLevel="0" collapsed="false">
      <c r="A3" s="6" t="s">
        <v>73</v>
      </c>
      <c r="B3" s="6" t="s">
        <v>87</v>
      </c>
      <c r="C3" s="6" t="s">
        <v>88</v>
      </c>
    </row>
    <row r="4" customFormat="false" ht="15" hidden="false" customHeight="true" outlineLevel="0" collapsed="false">
      <c r="A4" s="7" t="s">
        <v>89</v>
      </c>
      <c r="B4" s="23" t="n">
        <f aca="false">Premissas!B24*Premissas!B25*(1+Premissas!B26)</f>
        <v>15300</v>
      </c>
      <c r="C4" s="19" t="n">
        <f aca="false">B4*12</f>
        <v>183600</v>
      </c>
    </row>
    <row r="5" customFormat="false" ht="15" hidden="false" customHeight="true" outlineLevel="0" collapsed="false">
      <c r="A5" s="7" t="s">
        <v>90</v>
      </c>
      <c r="B5" s="23" t="n">
        <f aca="false">Premissas!B27*(1+Premissas!B26)</f>
        <v>0</v>
      </c>
      <c r="C5" s="19" t="n">
        <f aca="false">B5*12</f>
        <v>0</v>
      </c>
    </row>
    <row r="6" customFormat="false" ht="15" hidden="false" customHeight="true" outlineLevel="0" collapsed="false">
      <c r="A6" s="7" t="s">
        <v>91</v>
      </c>
      <c r="B6" s="23" t="n">
        <f aca="false">Premissas!B5*Premissas!B30*Premissas!B7*Premissas!B31*Premissas!B32</f>
        <v>2069.1</v>
      </c>
      <c r="C6" s="19" t="n">
        <f aca="false">B6*12</f>
        <v>24829.2</v>
      </c>
    </row>
    <row r="7" customFormat="false" ht="15" hidden="false" customHeight="true" outlineLevel="0" collapsed="false">
      <c r="A7" s="7" t="s">
        <v>54</v>
      </c>
      <c r="B7" s="23" t="n">
        <f aca="false">Premissas!B35</f>
        <v>5000</v>
      </c>
      <c r="C7" s="19" t="n">
        <f aca="false">B7*12</f>
        <v>60000</v>
      </c>
    </row>
    <row r="8" customFormat="false" ht="15" hidden="false" customHeight="true" outlineLevel="0" collapsed="false">
      <c r="A8" s="7" t="s">
        <v>92</v>
      </c>
      <c r="B8" s="23" t="n">
        <f aca="false">Premissas!B5*Premissas!B36</f>
        <v>2700</v>
      </c>
      <c r="C8" s="19" t="n">
        <f aca="false">B8*12</f>
        <v>32400</v>
      </c>
    </row>
    <row r="9" customFormat="false" ht="15" hidden="false" customHeight="true" outlineLevel="0" collapsed="false">
      <c r="A9" s="7" t="s">
        <v>93</v>
      </c>
      <c r="B9" s="23" t="n">
        <f aca="false">Premissas!B5*Premissas!B37</f>
        <v>1350</v>
      </c>
      <c r="C9" s="19" t="n">
        <f aca="false">B9*12</f>
        <v>16200</v>
      </c>
    </row>
    <row r="10" customFormat="false" ht="15" hidden="false" customHeight="true" outlineLevel="0" collapsed="false">
      <c r="A10" s="7" t="s">
        <v>94</v>
      </c>
      <c r="B10" s="23" t="n">
        <f aca="false">Premissas!B38</f>
        <v>2200</v>
      </c>
      <c r="C10" s="19" t="n">
        <f aca="false">B10*12</f>
        <v>26400</v>
      </c>
    </row>
    <row r="11" customFormat="false" ht="15" hidden="false" customHeight="true" outlineLevel="0" collapsed="false">
      <c r="A11" s="7" t="s">
        <v>95</v>
      </c>
      <c r="B11" s="23" t="n">
        <f aca="false">Premissas!B39</f>
        <v>1500</v>
      </c>
      <c r="C11" s="19" t="n">
        <f aca="false">B11*12</f>
        <v>18000</v>
      </c>
    </row>
    <row r="12" customFormat="false" ht="15" hidden="false" customHeight="true" outlineLevel="0" collapsed="false">
      <c r="A12" s="7" t="s">
        <v>96</v>
      </c>
      <c r="B12" s="23" t="n">
        <f aca="false">Premissas!B40</f>
        <v>3500</v>
      </c>
      <c r="C12" s="19" t="n">
        <f aca="false">B12*12</f>
        <v>42000</v>
      </c>
    </row>
    <row r="13" customFormat="false" ht="15" hidden="false" customHeight="true" outlineLevel="0" collapsed="false">
      <c r="A13" s="7" t="s">
        <v>97</v>
      </c>
      <c r="B13" s="23" t="n">
        <f aca="false">Premissas!B41</f>
        <v>1500</v>
      </c>
      <c r="C13" s="19" t="n">
        <f aca="false">B13*12</f>
        <v>18000</v>
      </c>
    </row>
    <row r="14" customFormat="false" ht="15" hidden="false" customHeight="true" outlineLevel="0" collapsed="false">
      <c r="A14" s="21" t="s">
        <v>98</v>
      </c>
      <c r="B14" s="22" t="n">
        <f aca="false">SUM(B4:B13)</f>
        <v>35119.1</v>
      </c>
      <c r="C14" s="22" t="n">
        <f aca="false">SUM(C4:C13)</f>
        <v>421429.2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8" min="3" style="1" width="14"/>
  </cols>
  <sheetData>
    <row r="1" customFormat="false" ht="17.25" hidden="false" customHeight="true" outlineLevel="0" collapsed="false">
      <c r="A1" s="2" t="s">
        <v>99</v>
      </c>
    </row>
    <row r="3" customFormat="false" ht="15" hidden="false" customHeight="true" outlineLevel="0" collapsed="false">
      <c r="C3" s="6" t="s">
        <v>100</v>
      </c>
      <c r="D3" s="6" t="s">
        <v>29</v>
      </c>
      <c r="E3" s="6" t="s">
        <v>30</v>
      </c>
      <c r="F3" s="6" t="s">
        <v>31</v>
      </c>
      <c r="G3" s="6" t="s">
        <v>32</v>
      </c>
      <c r="H3" s="6" t="s">
        <v>34</v>
      </c>
    </row>
    <row r="5" customFormat="false" ht="15" hidden="false" customHeight="true" outlineLevel="0" collapsed="false">
      <c r="A5" s="24" t="s">
        <v>101</v>
      </c>
      <c r="B5" s="25"/>
      <c r="C5" s="25"/>
      <c r="D5" s="25"/>
      <c r="E5" s="25"/>
      <c r="F5" s="25"/>
      <c r="G5" s="25"/>
    </row>
    <row r="6" customFormat="false" ht="15" hidden="false" customHeight="true" outlineLevel="0" collapsed="false">
      <c r="A6" s="7" t="s">
        <v>102</v>
      </c>
      <c r="D6" s="26" t="n">
        <f aca="false">Premissas!$B$11</f>
        <v>0.65</v>
      </c>
      <c r="E6" s="26" t="n">
        <f aca="false">Premissas!$B$12</f>
        <v>0.85</v>
      </c>
      <c r="F6" s="26" t="n">
        <f aca="false">Premissas!$B$13</f>
        <v>1</v>
      </c>
      <c r="G6" s="26" t="n">
        <f aca="false">Premissas!$B$14</f>
        <v>1.05</v>
      </c>
      <c r="H6" s="26" t="n">
        <f aca="false">Premissas!$B$15</f>
        <v>1.1</v>
      </c>
    </row>
    <row r="7" customFormat="false" ht="15" hidden="false" customHeight="true" outlineLevel="0" collapsed="false">
      <c r="A7" s="7" t="s">
        <v>103</v>
      </c>
      <c r="D7" s="15" t="n">
        <f aca="false">Premissas!$B$8*D6</f>
        <v>38610</v>
      </c>
      <c r="E7" s="15" t="n">
        <f aca="false">Premissas!$B$8*E6</f>
        <v>50490</v>
      </c>
      <c r="F7" s="15" t="n">
        <f aca="false">Premissas!$B$8*F6</f>
        <v>59400</v>
      </c>
      <c r="G7" s="15" t="n">
        <f aca="false">Premissas!$B$8*G6</f>
        <v>62370</v>
      </c>
      <c r="H7" s="15" t="n">
        <f aca="false">Premissas!$B$8*H6</f>
        <v>65340</v>
      </c>
    </row>
    <row r="8" customFormat="false" ht="15" hidden="false" customHeight="true" outlineLevel="0" collapsed="false">
      <c r="A8" s="7" t="s">
        <v>104</v>
      </c>
      <c r="D8" s="19" t="n">
        <f aca="false">Premissas!$B$18*(1+Premissas!$B$21)^0</f>
        <v>6</v>
      </c>
      <c r="E8" s="19" t="n">
        <f aca="false">Premissas!$B$18*(1+Premissas!$B$21)^1</f>
        <v>6.24</v>
      </c>
      <c r="F8" s="19" t="n">
        <f aca="false">Premissas!$B$18*(1+Premissas!$B$21)^2</f>
        <v>6.4896</v>
      </c>
      <c r="G8" s="19" t="n">
        <f aca="false">Premissas!$B$18*(1+Premissas!$B$21)^3</f>
        <v>6.749184</v>
      </c>
      <c r="H8" s="19" t="n">
        <f aca="false">Premissas!$B$18*(1+Premissas!$B$21)^4</f>
        <v>7.01915136</v>
      </c>
    </row>
    <row r="9" customFormat="false" ht="15" hidden="false" customHeight="true" outlineLevel="0" collapsed="false">
      <c r="A9" s="4" t="s">
        <v>105</v>
      </c>
      <c r="D9" s="27" t="n">
        <f aca="false">D7*D8</f>
        <v>231660</v>
      </c>
      <c r="E9" s="27" t="n">
        <f aca="false">E7*E8</f>
        <v>315057.6</v>
      </c>
      <c r="F9" s="27" t="n">
        <f aca="false">F7*F8</f>
        <v>385482.24</v>
      </c>
      <c r="G9" s="27" t="n">
        <f aca="false">G7*G8</f>
        <v>420946.60608</v>
      </c>
      <c r="H9" s="27" t="n">
        <f aca="false">H7*H8</f>
        <v>458631.3498624</v>
      </c>
    </row>
    <row r="10" customFormat="false" ht="15" hidden="false" customHeight="true" outlineLevel="0" collapsed="false">
      <c r="A10" s="7" t="s">
        <v>106</v>
      </c>
      <c r="D10" s="19" t="n">
        <f aca="false">-D9*Premissas!$B$44</f>
        <v>-46332</v>
      </c>
      <c r="E10" s="19" t="n">
        <f aca="false">-E9*Premissas!$B$44</f>
        <v>-63011.52</v>
      </c>
      <c r="F10" s="19" t="n">
        <f aca="false">-F9*Premissas!$B$44</f>
        <v>-77096.448</v>
      </c>
      <c r="G10" s="19" t="n">
        <f aca="false">-G9*Premissas!$B$44</f>
        <v>-84189.321216</v>
      </c>
      <c r="H10" s="19" t="n">
        <f aca="false">-H9*Premissas!$B$44</f>
        <v>-91726.26997248</v>
      </c>
    </row>
    <row r="11" customFormat="false" ht="15" hidden="false" customHeight="true" outlineLevel="0" collapsed="false">
      <c r="A11" s="7" t="s">
        <v>107</v>
      </c>
      <c r="D11" s="19" t="n">
        <f aca="false">D9+D10</f>
        <v>185328</v>
      </c>
      <c r="E11" s="19" t="n">
        <f aca="false">E9+E10</f>
        <v>252046.08</v>
      </c>
      <c r="F11" s="19" t="n">
        <f aca="false">F9+F10</f>
        <v>308385.792</v>
      </c>
      <c r="G11" s="19" t="n">
        <f aca="false">G9+G10</f>
        <v>336757.284864</v>
      </c>
      <c r="H11" s="19" t="n">
        <f aca="false">H9+H10</f>
        <v>366905.07988992</v>
      </c>
    </row>
    <row r="12" customFormat="false" ht="15" hidden="false" customHeight="true" outlineLevel="0" collapsed="false">
      <c r="A12" s="7" t="s">
        <v>108</v>
      </c>
      <c r="D12" s="19" t="n">
        <f aca="false">-OPEX!$C$14</f>
        <v>-421429.2</v>
      </c>
      <c r="E12" s="19" t="n">
        <f aca="false">-OPEX!$C$14</f>
        <v>-421429.2</v>
      </c>
      <c r="F12" s="19" t="n">
        <f aca="false">-OPEX!$C$14</f>
        <v>-421429.2</v>
      </c>
      <c r="G12" s="19" t="n">
        <f aca="false">-OPEX!$C$14</f>
        <v>-421429.2</v>
      </c>
      <c r="H12" s="19" t="n">
        <f aca="false">-OPEX!$C$14</f>
        <v>-421429.2</v>
      </c>
    </row>
    <row r="13" customFormat="false" ht="15" hidden="false" customHeight="true" outlineLevel="0" collapsed="false">
      <c r="A13" s="4" t="s">
        <v>109</v>
      </c>
      <c r="D13" s="27" t="n">
        <f aca="false">D11+D12</f>
        <v>-236101.2</v>
      </c>
      <c r="E13" s="27" t="n">
        <f aca="false">E11+E12</f>
        <v>-169383.12</v>
      </c>
      <c r="F13" s="27" t="n">
        <f aca="false">F11+F12</f>
        <v>-113043.408</v>
      </c>
      <c r="G13" s="27" t="n">
        <f aca="false">G11+G12</f>
        <v>-84671.915136</v>
      </c>
      <c r="H13" s="27" t="n">
        <f aca="false">H11+H12</f>
        <v>-54524.1201100799</v>
      </c>
    </row>
    <row r="14" customFormat="false" ht="15" hidden="false" customHeight="true" outlineLevel="0" collapsed="false">
      <c r="A14" s="7" t="s">
        <v>110</v>
      </c>
      <c r="D14" s="28" t="n">
        <f aca="false">IF(D9=0,0,D13/D9)</f>
        <v>-1.0191711991712</v>
      </c>
      <c r="E14" s="28" t="n">
        <f aca="false">IF(E9=0,0,E13/E9)</f>
        <v>-0.537625881743529</v>
      </c>
      <c r="F14" s="28" t="n">
        <f aca="false">IF(F9=0,0,F13/F9)</f>
        <v>-0.293251922578846</v>
      </c>
      <c r="G14" s="28" t="n">
        <f aca="false">IF(G9=0,0,G13/G9)</f>
        <v>-0.201146449248027</v>
      </c>
      <c r="H14" s="28" t="n">
        <f aca="false">IF(H9=0,0,H13/H9)</f>
        <v>-0.118884415830794</v>
      </c>
    </row>
    <row r="15" customFormat="false" ht="15" hidden="false" customHeight="true" outlineLevel="0" collapsed="false">
      <c r="A15" s="7" t="s">
        <v>111</v>
      </c>
      <c r="D15" s="19" t="n">
        <f aca="false">-((CAPEX!$D$11-CAPEX!$D$10)/Premissas!$B$48)</f>
        <v>-196000</v>
      </c>
      <c r="E15" s="19" t="n">
        <f aca="false">-((CAPEX!$D$11-CAPEX!$D$10)/Premissas!$B$48)</f>
        <v>-196000</v>
      </c>
      <c r="F15" s="19" t="n">
        <f aca="false">-((CAPEX!$D$11-CAPEX!$D$10)/Premissas!$B$48)</f>
        <v>-196000</v>
      </c>
      <c r="G15" s="19" t="n">
        <f aca="false">-((CAPEX!$D$11-CAPEX!$D$10)/Premissas!$B$48)</f>
        <v>-196000</v>
      </c>
      <c r="H15" s="19" t="n">
        <f aca="false">-((CAPEX!$D$11-CAPEX!$D$10)/Premissas!$B$48)</f>
        <v>-196000</v>
      </c>
    </row>
    <row r="16" customFormat="false" ht="15" hidden="false" customHeight="true" outlineLevel="0" collapsed="false">
      <c r="A16" s="7" t="s">
        <v>112</v>
      </c>
      <c r="D16" s="19" t="n">
        <f aca="false">D13+D15</f>
        <v>-432101.2</v>
      </c>
      <c r="E16" s="19" t="n">
        <f aca="false">E13+E15</f>
        <v>-365383.12</v>
      </c>
      <c r="F16" s="19" t="n">
        <f aca="false">F13+F15</f>
        <v>-309043.408</v>
      </c>
      <c r="G16" s="19" t="n">
        <f aca="false">G13+G15</f>
        <v>-280671.915136</v>
      </c>
      <c r="H16" s="19" t="n">
        <f aca="false">H13+H15</f>
        <v>-250524.12011008</v>
      </c>
    </row>
    <row r="17" customFormat="false" ht="15" hidden="false" customHeight="true" outlineLevel="0" collapsed="false">
      <c r="A17" s="4" t="s">
        <v>113</v>
      </c>
      <c r="C17" s="27" t="n">
        <f aca="false">-CAPEX!$D$11</f>
        <v>-1130000</v>
      </c>
      <c r="D17" s="27" t="n">
        <f aca="false">D13-Premissas!$B$46</f>
        <v>-256101.2</v>
      </c>
      <c r="E17" s="27" t="n">
        <f aca="false">E13-Premissas!$B$46</f>
        <v>-189383.12</v>
      </c>
      <c r="F17" s="27" t="n">
        <f aca="false">F13-Premissas!$B$46</f>
        <v>-133043.408</v>
      </c>
      <c r="G17" s="27" t="n">
        <f aca="false">G13-Premissas!$B$46</f>
        <v>-104671.915136</v>
      </c>
      <c r="H17" s="27" t="n">
        <f aca="false">H13-Premissas!$B$46+Premissas!$B$47*CAPEX!$D$4</f>
        <v>198475.87988992</v>
      </c>
    </row>
    <row r="18" customFormat="false" ht="15" hidden="false" customHeight="true" outlineLevel="0" collapsed="false">
      <c r="A18" s="7" t="s">
        <v>114</v>
      </c>
      <c r="C18" s="19" t="n">
        <f aca="false">C17</f>
        <v>-1130000</v>
      </c>
      <c r="D18" s="19" t="n">
        <f aca="false">D17/(1+Premissas!$B$45)^1</f>
        <v>-217034.915254237</v>
      </c>
      <c r="E18" s="19" t="n">
        <f aca="false">E17/(1+Premissas!$B$45)^2</f>
        <v>-136012.008043666</v>
      </c>
      <c r="F18" s="19" t="n">
        <f aca="false">F17/(1+Premissas!$B$45)^3</f>
        <v>-80974.3255152669</v>
      </c>
      <c r="G18" s="19" t="n">
        <f aca="false">G17/(1+Premissas!$B$45)^4</f>
        <v>-53988.6093679969</v>
      </c>
      <c r="H18" s="19" t="n">
        <f aca="false">H17/(1+Premissas!$B$45)^5</f>
        <v>86755.6362993336</v>
      </c>
    </row>
    <row r="19" customFormat="false" ht="15" hidden="false" customHeight="true" outlineLevel="0" collapsed="false">
      <c r="A19" s="7" t="s">
        <v>115</v>
      </c>
      <c r="C19" s="19" t="n">
        <f aca="false">C18</f>
        <v>-1130000</v>
      </c>
      <c r="D19" s="19" t="n">
        <f aca="false">C19+D18</f>
        <v>-1347034.91525424</v>
      </c>
      <c r="E19" s="19" t="n">
        <f aca="false">D19+E18</f>
        <v>-1483046.9232979</v>
      </c>
      <c r="F19" s="19" t="n">
        <f aca="false">E19+F18</f>
        <v>-1564021.24881317</v>
      </c>
      <c r="G19" s="19" t="n">
        <f aca="false">F19+G18</f>
        <v>-1618009.85818117</v>
      </c>
      <c r="H19" s="19" t="n">
        <f aca="false">G19+H18</f>
        <v>-1531254.22188183</v>
      </c>
    </row>
    <row r="21" customFormat="false" ht="15" hidden="false" customHeight="true" outlineLevel="0" collapsed="false">
      <c r="A21" s="4" t="s">
        <v>116</v>
      </c>
      <c r="C21" s="27" t="n">
        <f aca="false">C17+NPV(Premissas!$B$45,D17:H17)</f>
        <v>-1531254.22188183</v>
      </c>
    </row>
    <row r="22" customFormat="false" ht="15" hidden="false" customHeight="true" outlineLevel="0" collapsed="false">
      <c r="A22" s="4" t="s">
        <v>117</v>
      </c>
      <c r="C22" s="29" t="n">
        <f aca="false">IFERROR(IRR(C17:H17),-1)</f>
        <v>-1</v>
      </c>
    </row>
    <row r="23" customFormat="false" ht="15" hidden="false" customHeight="true" outlineLevel="0" collapsed="false">
      <c r="A23" s="4" t="s">
        <v>118</v>
      </c>
      <c r="C23" s="30" t="n">
        <f aca="false">COUNTIF(C19:H19,"&lt;0")</f>
        <v>6</v>
      </c>
    </row>
    <row r="26" customFormat="false" ht="15" hidden="false" customHeight="true" outlineLevel="0" collapsed="false">
      <c r="A26" s="31" t="s">
        <v>119</v>
      </c>
      <c r="B26" s="32"/>
      <c r="C26" s="32"/>
      <c r="D26" s="32"/>
      <c r="E26" s="32"/>
      <c r="F26" s="32"/>
      <c r="G26" s="32"/>
    </row>
    <row r="27" customFormat="false" ht="15" hidden="false" customHeight="true" outlineLevel="0" collapsed="false">
      <c r="A27" s="7" t="s">
        <v>102</v>
      </c>
      <c r="D27" s="26" t="n">
        <f aca="false">Premissas!$B$11</f>
        <v>0.65</v>
      </c>
      <c r="E27" s="26" t="n">
        <f aca="false">Premissas!$B$12</f>
        <v>0.85</v>
      </c>
      <c r="F27" s="26" t="n">
        <f aca="false">Premissas!$B$13</f>
        <v>1</v>
      </c>
      <c r="G27" s="26" t="n">
        <f aca="false">Premissas!$B$14</f>
        <v>1.05</v>
      </c>
      <c r="H27" s="26" t="n">
        <f aca="false">Premissas!$B$15</f>
        <v>1.1</v>
      </c>
    </row>
    <row r="28" customFormat="false" ht="15" hidden="false" customHeight="true" outlineLevel="0" collapsed="false">
      <c r="A28" s="7" t="s">
        <v>103</v>
      </c>
      <c r="D28" s="15" t="n">
        <f aca="false">Premissas!$B$8*D27</f>
        <v>38610</v>
      </c>
      <c r="E28" s="15" t="n">
        <f aca="false">Premissas!$B$8*E27</f>
        <v>50490</v>
      </c>
      <c r="F28" s="15" t="n">
        <f aca="false">Premissas!$B$8*F27</f>
        <v>59400</v>
      </c>
      <c r="G28" s="15" t="n">
        <f aca="false">Premissas!$B$8*G27</f>
        <v>62370</v>
      </c>
      <c r="H28" s="15" t="n">
        <f aca="false">Premissas!$B$8*H27</f>
        <v>65340</v>
      </c>
    </row>
    <row r="29" customFormat="false" ht="15" hidden="false" customHeight="true" outlineLevel="0" collapsed="false">
      <c r="A29" s="7" t="s">
        <v>104</v>
      </c>
      <c r="D29" s="19" t="n">
        <f aca="false">Premissas!$B$19*(1+Premissas!$B$21)^0</f>
        <v>11</v>
      </c>
      <c r="E29" s="19" t="n">
        <f aca="false">Premissas!$B$19*(1+Premissas!$B$21)^1</f>
        <v>11.44</v>
      </c>
      <c r="F29" s="19" t="n">
        <f aca="false">Premissas!$B$19*(1+Premissas!$B$21)^2</f>
        <v>11.8976</v>
      </c>
      <c r="G29" s="19" t="n">
        <f aca="false">Premissas!$B$19*(1+Premissas!$B$21)^3</f>
        <v>12.373504</v>
      </c>
      <c r="H29" s="19" t="n">
        <f aca="false">Premissas!$B$19*(1+Premissas!$B$21)^4</f>
        <v>12.86844416</v>
      </c>
    </row>
    <row r="30" customFormat="false" ht="15" hidden="false" customHeight="true" outlineLevel="0" collapsed="false">
      <c r="A30" s="4" t="s">
        <v>105</v>
      </c>
      <c r="D30" s="27" t="n">
        <f aca="false">D28*D29</f>
        <v>424710</v>
      </c>
      <c r="E30" s="27" t="n">
        <f aca="false">E28*E29</f>
        <v>577605.6</v>
      </c>
      <c r="F30" s="27" t="n">
        <f aca="false">F28*F29</f>
        <v>706717.44</v>
      </c>
      <c r="G30" s="27" t="n">
        <f aca="false">G28*G29</f>
        <v>771735.44448</v>
      </c>
      <c r="H30" s="27" t="n">
        <f aca="false">H28*H29</f>
        <v>840824.1414144</v>
      </c>
    </row>
    <row r="31" customFormat="false" ht="15" hidden="false" customHeight="true" outlineLevel="0" collapsed="false">
      <c r="A31" s="7" t="s">
        <v>106</v>
      </c>
      <c r="D31" s="19" t="n">
        <f aca="false">-D30*Premissas!$B$44</f>
        <v>-84942</v>
      </c>
      <c r="E31" s="19" t="n">
        <f aca="false">-E30*Premissas!$B$44</f>
        <v>-115521.12</v>
      </c>
      <c r="F31" s="19" t="n">
        <f aca="false">-F30*Premissas!$B$44</f>
        <v>-141343.488</v>
      </c>
      <c r="G31" s="19" t="n">
        <f aca="false">-G30*Premissas!$B$44</f>
        <v>-154347.088896</v>
      </c>
      <c r="H31" s="19" t="n">
        <f aca="false">-H30*Premissas!$B$44</f>
        <v>-168164.82828288</v>
      </c>
    </row>
    <row r="32" customFormat="false" ht="15" hidden="false" customHeight="true" outlineLevel="0" collapsed="false">
      <c r="A32" s="7" t="s">
        <v>107</v>
      </c>
      <c r="D32" s="19" t="n">
        <f aca="false">D30+D31</f>
        <v>339768</v>
      </c>
      <c r="E32" s="19" t="n">
        <f aca="false">E30+E31</f>
        <v>462084.48</v>
      </c>
      <c r="F32" s="19" t="n">
        <f aca="false">F30+F31</f>
        <v>565373.952</v>
      </c>
      <c r="G32" s="19" t="n">
        <f aca="false">G30+G31</f>
        <v>617388.355584</v>
      </c>
      <c r="H32" s="19" t="n">
        <f aca="false">H30+H31</f>
        <v>672659.31313152</v>
      </c>
    </row>
    <row r="33" customFormat="false" ht="15" hidden="false" customHeight="true" outlineLevel="0" collapsed="false">
      <c r="A33" s="7" t="s">
        <v>108</v>
      </c>
      <c r="D33" s="19" t="n">
        <f aca="false">-OPEX!$C$14</f>
        <v>-421429.2</v>
      </c>
      <c r="E33" s="19" t="n">
        <f aca="false">-OPEX!$C$14</f>
        <v>-421429.2</v>
      </c>
      <c r="F33" s="19" t="n">
        <f aca="false">-OPEX!$C$14</f>
        <v>-421429.2</v>
      </c>
      <c r="G33" s="19" t="n">
        <f aca="false">-OPEX!$C$14</f>
        <v>-421429.2</v>
      </c>
      <c r="H33" s="19" t="n">
        <f aca="false">-OPEX!$C$14</f>
        <v>-421429.2</v>
      </c>
    </row>
    <row r="34" customFormat="false" ht="15" hidden="false" customHeight="true" outlineLevel="0" collapsed="false">
      <c r="A34" s="4" t="s">
        <v>109</v>
      </c>
      <c r="D34" s="27" t="n">
        <f aca="false">D32+D33</f>
        <v>-81661.2</v>
      </c>
      <c r="E34" s="27" t="n">
        <f aca="false">E32+E33</f>
        <v>40655.2800000001</v>
      </c>
      <c r="F34" s="27" t="n">
        <f aca="false">F32+F33</f>
        <v>143944.752</v>
      </c>
      <c r="G34" s="27" t="n">
        <f aca="false">G32+G33</f>
        <v>195959.155584</v>
      </c>
      <c r="H34" s="27" t="n">
        <f aca="false">H32+H33</f>
        <v>251230.11313152</v>
      </c>
    </row>
    <row r="35" customFormat="false" ht="15" hidden="false" customHeight="true" outlineLevel="0" collapsed="false">
      <c r="A35" s="7" t="s">
        <v>110</v>
      </c>
      <c r="D35" s="28" t="n">
        <f aca="false">IF(D30=0,0,D34/D30)</f>
        <v>-0.192275199547927</v>
      </c>
      <c r="E35" s="28" t="n">
        <f aca="false">IF(E30=0,0,E34/E30)</f>
        <v>0.0703858826853481</v>
      </c>
      <c r="F35" s="28" t="n">
        <f aca="false">IF(F30=0,0,F34/F30)</f>
        <v>0.203680769502448</v>
      </c>
      <c r="G35" s="28" t="n">
        <f aca="false">IF(G30=0,0,G34/G30)</f>
        <v>0.253920118591985</v>
      </c>
      <c r="H35" s="28" t="n">
        <f aca="false">IF(H30=0,0,H34/H30)</f>
        <v>0.298790318637749</v>
      </c>
    </row>
    <row r="36" customFormat="false" ht="15" hidden="false" customHeight="true" outlineLevel="0" collapsed="false">
      <c r="A36" s="7" t="s">
        <v>111</v>
      </c>
      <c r="D36" s="19" t="n">
        <f aca="false">-((CAPEX!$D$11-CAPEX!$D$10)/Premissas!$B$48)</f>
        <v>-196000</v>
      </c>
      <c r="E36" s="19" t="n">
        <f aca="false">-((CAPEX!$D$11-CAPEX!$D$10)/Premissas!$B$48)</f>
        <v>-196000</v>
      </c>
      <c r="F36" s="19" t="n">
        <f aca="false">-((CAPEX!$D$11-CAPEX!$D$10)/Premissas!$B$48)</f>
        <v>-196000</v>
      </c>
      <c r="G36" s="19" t="n">
        <f aca="false">-((CAPEX!$D$11-CAPEX!$D$10)/Premissas!$B$48)</f>
        <v>-196000</v>
      </c>
      <c r="H36" s="19" t="n">
        <f aca="false">-((CAPEX!$D$11-CAPEX!$D$10)/Premissas!$B$48)</f>
        <v>-196000</v>
      </c>
    </row>
    <row r="37" customFormat="false" ht="15" hidden="false" customHeight="true" outlineLevel="0" collapsed="false">
      <c r="A37" s="7" t="s">
        <v>112</v>
      </c>
      <c r="D37" s="19" t="n">
        <f aca="false">D34+D36</f>
        <v>-277661.2</v>
      </c>
      <c r="E37" s="19" t="n">
        <f aca="false">E34+E36</f>
        <v>-155344.72</v>
      </c>
      <c r="F37" s="19" t="n">
        <f aca="false">F34+F36</f>
        <v>-52055.248</v>
      </c>
      <c r="G37" s="19" t="n">
        <f aca="false">G34+G36</f>
        <v>-40.8444160000072</v>
      </c>
      <c r="H37" s="19" t="n">
        <f aca="false">H34+H36</f>
        <v>55230.1131315203</v>
      </c>
    </row>
    <row r="38" customFormat="false" ht="15" hidden="false" customHeight="true" outlineLevel="0" collapsed="false">
      <c r="A38" s="4" t="s">
        <v>113</v>
      </c>
      <c r="C38" s="27" t="n">
        <f aca="false">-CAPEX!$D$11</f>
        <v>-1130000</v>
      </c>
      <c r="D38" s="27" t="n">
        <f aca="false">D34-Premissas!$B$46</f>
        <v>-101661.2</v>
      </c>
      <c r="E38" s="27" t="n">
        <f aca="false">E34-Premissas!$B$46</f>
        <v>20655.2800000001</v>
      </c>
      <c r="F38" s="27" t="n">
        <f aca="false">F34-Premissas!$B$46</f>
        <v>123944.752</v>
      </c>
      <c r="G38" s="27" t="n">
        <f aca="false">G34-Premissas!$B$46</f>
        <v>175959.155584</v>
      </c>
      <c r="H38" s="27" t="n">
        <f aca="false">H34-Premissas!$B$46+Premissas!$B$47*CAPEX!$D$4</f>
        <v>504230.11313152</v>
      </c>
    </row>
    <row r="39" customFormat="false" ht="15" hidden="false" customHeight="true" outlineLevel="0" collapsed="false">
      <c r="A39" s="7" t="s">
        <v>114</v>
      </c>
      <c r="C39" s="19" t="n">
        <f aca="false">C38</f>
        <v>-1130000</v>
      </c>
      <c r="D39" s="19" t="n">
        <f aca="false">D38/(1+Premissas!$B$45)^1</f>
        <v>-86153.5593220339</v>
      </c>
      <c r="E39" s="19" t="n">
        <f aca="false">E38/(1+Premissas!$B$45)^2</f>
        <v>14834.3004883655</v>
      </c>
      <c r="F39" s="19" t="n">
        <f aca="false">F38/(1+Premissas!$B$45)^3</f>
        <v>75436.6025737783</v>
      </c>
      <c r="G39" s="19" t="n">
        <f aca="false">G38/(1+Premissas!$B$45)^4</f>
        <v>90757.7749313568</v>
      </c>
      <c r="H39" s="19" t="n">
        <f aca="false">H38/(1+Premissas!$B$45)^5</f>
        <v>220403.629550714</v>
      </c>
    </row>
    <row r="40" customFormat="false" ht="15" hidden="false" customHeight="true" outlineLevel="0" collapsed="false">
      <c r="A40" s="7" t="s">
        <v>115</v>
      </c>
      <c r="C40" s="19" t="n">
        <f aca="false">C39</f>
        <v>-1130000</v>
      </c>
      <c r="D40" s="19" t="n">
        <f aca="false">C40+D39</f>
        <v>-1216153.55932203</v>
      </c>
      <c r="E40" s="19" t="n">
        <f aca="false">D40+E39</f>
        <v>-1201319.25883367</v>
      </c>
      <c r="F40" s="19" t="n">
        <f aca="false">E40+F39</f>
        <v>-1125882.65625989</v>
      </c>
      <c r="G40" s="19" t="n">
        <f aca="false">F40+G39</f>
        <v>-1035124.88132853</v>
      </c>
      <c r="H40" s="19" t="n">
        <f aca="false">G40+H39</f>
        <v>-814721.251777819</v>
      </c>
    </row>
    <row r="42" customFormat="false" ht="15" hidden="false" customHeight="true" outlineLevel="0" collapsed="false">
      <c r="A42" s="4" t="s">
        <v>116</v>
      </c>
      <c r="C42" s="27" t="n">
        <f aca="false">C38+NPV(Premissas!$B$45,D38:H38)</f>
        <v>-814721.251777819</v>
      </c>
    </row>
    <row r="43" customFormat="false" ht="15" hidden="false" customHeight="true" outlineLevel="0" collapsed="false">
      <c r="A43" s="4" t="s">
        <v>117</v>
      </c>
      <c r="C43" s="29" t="n">
        <f aca="false">IFERROR(IRR(C38:H38),-1)</f>
        <v>-0.0879482502588172</v>
      </c>
    </row>
    <row r="44" customFormat="false" ht="15" hidden="false" customHeight="true" outlineLevel="0" collapsed="false">
      <c r="A44" s="4" t="s">
        <v>118</v>
      </c>
      <c r="C44" s="30" t="n">
        <f aca="false">COUNTIF(C40:H40,"&lt;0")</f>
        <v>6</v>
      </c>
    </row>
    <row r="47" customFormat="false" ht="15" hidden="false" customHeight="true" outlineLevel="0" collapsed="false">
      <c r="A47" s="33" t="s">
        <v>120</v>
      </c>
      <c r="B47" s="34"/>
      <c r="C47" s="34"/>
      <c r="D47" s="34"/>
      <c r="E47" s="34"/>
      <c r="F47" s="34"/>
      <c r="G47" s="34"/>
    </row>
    <row r="48" customFormat="false" ht="15" hidden="false" customHeight="true" outlineLevel="0" collapsed="false">
      <c r="A48" s="7" t="s">
        <v>102</v>
      </c>
      <c r="D48" s="26" t="n">
        <f aca="false">Premissas!$B$11</f>
        <v>0.65</v>
      </c>
      <c r="E48" s="26" t="n">
        <f aca="false">Premissas!$B$12</f>
        <v>0.85</v>
      </c>
      <c r="F48" s="26" t="n">
        <f aca="false">Premissas!$B$13</f>
        <v>1</v>
      </c>
      <c r="G48" s="26" t="n">
        <f aca="false">Premissas!$B$14</f>
        <v>1.05</v>
      </c>
      <c r="H48" s="26" t="n">
        <f aca="false">Premissas!$B$15</f>
        <v>1.1</v>
      </c>
    </row>
    <row r="49" customFormat="false" ht="15" hidden="false" customHeight="true" outlineLevel="0" collapsed="false">
      <c r="A49" s="7" t="s">
        <v>103</v>
      </c>
      <c r="D49" s="15" t="n">
        <f aca="false">Premissas!$B$8*D48</f>
        <v>38610</v>
      </c>
      <c r="E49" s="15" t="n">
        <f aca="false">Premissas!$B$8*E48</f>
        <v>50490</v>
      </c>
      <c r="F49" s="15" t="n">
        <f aca="false">Premissas!$B$8*F48</f>
        <v>59400</v>
      </c>
      <c r="G49" s="15" t="n">
        <f aca="false">Premissas!$B$8*G48</f>
        <v>62370</v>
      </c>
      <c r="H49" s="15" t="n">
        <f aca="false">Premissas!$B$8*H48</f>
        <v>65340</v>
      </c>
    </row>
    <row r="50" customFormat="false" ht="15" hidden="false" customHeight="true" outlineLevel="0" collapsed="false">
      <c r="A50" s="7" t="s">
        <v>104</v>
      </c>
      <c r="D50" s="19" t="n">
        <f aca="false">Premissas!$B$20*(1+Premissas!$B$21)^0</f>
        <v>18</v>
      </c>
      <c r="E50" s="19" t="n">
        <f aca="false">Premissas!$B$20*(1+Premissas!$B$21)^1</f>
        <v>18.72</v>
      </c>
      <c r="F50" s="19" t="n">
        <f aca="false">Premissas!$B$20*(1+Premissas!$B$21)^2</f>
        <v>19.4688</v>
      </c>
      <c r="G50" s="19" t="n">
        <f aca="false">Premissas!$B$20*(1+Premissas!$B$21)^3</f>
        <v>20.247552</v>
      </c>
      <c r="H50" s="19" t="n">
        <f aca="false">Premissas!$B$20*(1+Premissas!$B$21)^4</f>
        <v>21.05745408</v>
      </c>
    </row>
    <row r="51" customFormat="false" ht="15" hidden="false" customHeight="true" outlineLevel="0" collapsed="false">
      <c r="A51" s="4" t="s">
        <v>105</v>
      </c>
      <c r="D51" s="27" t="n">
        <f aca="false">D49*D50</f>
        <v>694980</v>
      </c>
      <c r="E51" s="27" t="n">
        <f aca="false">E49*E50</f>
        <v>945172.8</v>
      </c>
      <c r="F51" s="27" t="n">
        <f aca="false">F49*F50</f>
        <v>1156446.72</v>
      </c>
      <c r="G51" s="27" t="n">
        <f aca="false">G49*G50</f>
        <v>1262839.81824</v>
      </c>
      <c r="H51" s="27" t="n">
        <f aca="false">H49*H50</f>
        <v>1375894.0495872</v>
      </c>
    </row>
    <row r="52" customFormat="false" ht="15" hidden="false" customHeight="true" outlineLevel="0" collapsed="false">
      <c r="A52" s="7" t="s">
        <v>106</v>
      </c>
      <c r="D52" s="19" t="n">
        <f aca="false">-D51*Premissas!$B$44</f>
        <v>-138996</v>
      </c>
      <c r="E52" s="19" t="n">
        <f aca="false">-E51*Premissas!$B$44</f>
        <v>-189034.56</v>
      </c>
      <c r="F52" s="19" t="n">
        <f aca="false">-F51*Premissas!$B$44</f>
        <v>-231289.344</v>
      </c>
      <c r="G52" s="19" t="n">
        <f aca="false">-G51*Premissas!$B$44</f>
        <v>-252567.963648</v>
      </c>
      <c r="H52" s="19" t="n">
        <f aca="false">-H51*Premissas!$B$44</f>
        <v>-275178.80991744</v>
      </c>
    </row>
    <row r="53" customFormat="false" ht="15" hidden="false" customHeight="true" outlineLevel="0" collapsed="false">
      <c r="A53" s="7" t="s">
        <v>107</v>
      </c>
      <c r="D53" s="19" t="n">
        <f aca="false">D51+D52</f>
        <v>555984</v>
      </c>
      <c r="E53" s="19" t="n">
        <f aca="false">E51+E52</f>
        <v>756138.24</v>
      </c>
      <c r="F53" s="19" t="n">
        <f aca="false">F51+F52</f>
        <v>925157.376</v>
      </c>
      <c r="G53" s="19" t="n">
        <f aca="false">G51+G52</f>
        <v>1010271.854592</v>
      </c>
      <c r="H53" s="19" t="n">
        <f aca="false">H51+H52</f>
        <v>1100715.23966976</v>
      </c>
    </row>
    <row r="54" customFormat="false" ht="15" hidden="false" customHeight="true" outlineLevel="0" collapsed="false">
      <c r="A54" s="7" t="s">
        <v>108</v>
      </c>
      <c r="D54" s="19" t="n">
        <f aca="false">-OPEX!$C$14</f>
        <v>-421429.2</v>
      </c>
      <c r="E54" s="19" t="n">
        <f aca="false">-OPEX!$C$14</f>
        <v>-421429.2</v>
      </c>
      <c r="F54" s="19" t="n">
        <f aca="false">-OPEX!$C$14</f>
        <v>-421429.2</v>
      </c>
      <c r="G54" s="19" t="n">
        <f aca="false">-OPEX!$C$14</f>
        <v>-421429.2</v>
      </c>
      <c r="H54" s="19" t="n">
        <f aca="false">-OPEX!$C$14</f>
        <v>-421429.2</v>
      </c>
    </row>
    <row r="55" customFormat="false" ht="15" hidden="false" customHeight="true" outlineLevel="0" collapsed="false">
      <c r="A55" s="4" t="s">
        <v>109</v>
      </c>
      <c r="D55" s="27" t="n">
        <f aca="false">D53+D54</f>
        <v>134554.8</v>
      </c>
      <c r="E55" s="27" t="n">
        <f aca="false">E53+E54</f>
        <v>334709.04</v>
      </c>
      <c r="F55" s="27" t="n">
        <f aca="false">F53+F54</f>
        <v>503728.176</v>
      </c>
      <c r="G55" s="27" t="n">
        <f aca="false">G53+G54</f>
        <v>588842.654592</v>
      </c>
      <c r="H55" s="27" t="n">
        <f aca="false">H53+H54</f>
        <v>679286.03966976</v>
      </c>
    </row>
    <row r="56" customFormat="false" ht="15" hidden="false" customHeight="true" outlineLevel="0" collapsed="false">
      <c r="A56" s="7" t="s">
        <v>110</v>
      </c>
      <c r="D56" s="28" t="n">
        <f aca="false">IF(D51=0,0,D55/D51)</f>
        <v>0.193609600276267</v>
      </c>
      <c r="E56" s="28" t="n">
        <f aca="false">IF(E51=0,0,E55/E51)</f>
        <v>0.35412470608549</v>
      </c>
      <c r="F56" s="28" t="n">
        <f aca="false">IF(F51=0,0,F55/F51)</f>
        <v>0.435582692473718</v>
      </c>
      <c r="G56" s="28" t="n">
        <f aca="false">IF(G51=0,0,G55/G51)</f>
        <v>0.466284516917324</v>
      </c>
      <c r="H56" s="28" t="n">
        <f aca="false">IF(H51=0,0,H55/H51)</f>
        <v>0.493705194723069</v>
      </c>
    </row>
    <row r="57" customFormat="false" ht="15" hidden="false" customHeight="true" outlineLevel="0" collapsed="false">
      <c r="A57" s="7" t="s">
        <v>111</v>
      </c>
      <c r="D57" s="19" t="n">
        <f aca="false">-((CAPEX!$D$11-CAPEX!$D$10)/Premissas!$B$48)</f>
        <v>-196000</v>
      </c>
      <c r="E57" s="19" t="n">
        <f aca="false">-((CAPEX!$D$11-CAPEX!$D$10)/Premissas!$B$48)</f>
        <v>-196000</v>
      </c>
      <c r="F57" s="19" t="n">
        <f aca="false">-((CAPEX!$D$11-CAPEX!$D$10)/Premissas!$B$48)</f>
        <v>-196000</v>
      </c>
      <c r="G57" s="19" t="n">
        <f aca="false">-((CAPEX!$D$11-CAPEX!$D$10)/Premissas!$B$48)</f>
        <v>-196000</v>
      </c>
      <c r="H57" s="19" t="n">
        <f aca="false">-((CAPEX!$D$11-CAPEX!$D$10)/Premissas!$B$48)</f>
        <v>-196000</v>
      </c>
    </row>
    <row r="58" customFormat="false" ht="15" hidden="false" customHeight="true" outlineLevel="0" collapsed="false">
      <c r="A58" s="7" t="s">
        <v>112</v>
      </c>
      <c r="D58" s="19" t="n">
        <f aca="false">D55+D57</f>
        <v>-61445.2</v>
      </c>
      <c r="E58" s="19" t="n">
        <f aca="false">E55+E57</f>
        <v>138709.04</v>
      </c>
      <c r="F58" s="19" t="n">
        <f aca="false">F55+F57</f>
        <v>307728.176</v>
      </c>
      <c r="G58" s="19" t="n">
        <f aca="false">G55+G57</f>
        <v>392842.654592</v>
      </c>
      <c r="H58" s="19" t="n">
        <f aca="false">H55+H57</f>
        <v>483286.03966976</v>
      </c>
    </row>
    <row r="59" customFormat="false" ht="15" hidden="false" customHeight="true" outlineLevel="0" collapsed="false">
      <c r="A59" s="4" t="s">
        <v>113</v>
      </c>
      <c r="C59" s="27" t="n">
        <f aca="false">-CAPEX!$D$11</f>
        <v>-1130000</v>
      </c>
      <c r="D59" s="27" t="n">
        <f aca="false">D55-Premissas!$B$46</f>
        <v>114554.8</v>
      </c>
      <c r="E59" s="27" t="n">
        <f aca="false">E55-Premissas!$B$46</f>
        <v>314709.04</v>
      </c>
      <c r="F59" s="27" t="n">
        <f aca="false">F55-Premissas!$B$46</f>
        <v>483728.176</v>
      </c>
      <c r="G59" s="27" t="n">
        <f aca="false">G55-Premissas!$B$46</f>
        <v>568842.654592</v>
      </c>
      <c r="H59" s="27" t="n">
        <f aca="false">H55-Premissas!$B$46+Premissas!$B$47*CAPEX!$D$4</f>
        <v>932286.03966976</v>
      </c>
    </row>
    <row r="60" customFormat="false" ht="15" hidden="false" customHeight="true" outlineLevel="0" collapsed="false">
      <c r="A60" s="7" t="s">
        <v>114</v>
      </c>
      <c r="C60" s="19" t="n">
        <f aca="false">C59</f>
        <v>-1130000</v>
      </c>
      <c r="D60" s="19" t="n">
        <f aca="false">D59/(1+Premissas!$B$45)^1</f>
        <v>97080.3389830508</v>
      </c>
      <c r="E60" s="19" t="n">
        <f aca="false">E59/(1+Premissas!$B$45)^2</f>
        <v>226019.132433209</v>
      </c>
      <c r="F60" s="19" t="n">
        <f aca="false">F59/(1+Premissas!$B$45)^3</f>
        <v>294411.901898442</v>
      </c>
      <c r="G60" s="19" t="n">
        <f aca="false">G59/(1+Premissas!$B$45)^4</f>
        <v>293402.712950452</v>
      </c>
      <c r="H60" s="19" t="n">
        <f aca="false">H59/(1+Premissas!$B$45)^5</f>
        <v>407510.820102647</v>
      </c>
    </row>
    <row r="61" customFormat="false" ht="15" hidden="false" customHeight="true" outlineLevel="0" collapsed="false">
      <c r="A61" s="7" t="s">
        <v>115</v>
      </c>
      <c r="C61" s="19" t="n">
        <f aca="false">C60</f>
        <v>-1130000</v>
      </c>
      <c r="D61" s="19" t="n">
        <f aca="false">C61+D60</f>
        <v>-1032919.66101695</v>
      </c>
      <c r="E61" s="19" t="n">
        <f aca="false">D61+E60</f>
        <v>-806900.52858374</v>
      </c>
      <c r="F61" s="19" t="n">
        <f aca="false">E61+F60</f>
        <v>-512488.626685299</v>
      </c>
      <c r="G61" s="19" t="n">
        <f aca="false">F61+G60</f>
        <v>-219085.913734847</v>
      </c>
      <c r="H61" s="19" t="n">
        <f aca="false">G61+H60</f>
        <v>188424.9063678</v>
      </c>
    </row>
    <row r="63" customFormat="false" ht="15" hidden="false" customHeight="true" outlineLevel="0" collapsed="false">
      <c r="A63" s="4" t="s">
        <v>116</v>
      </c>
      <c r="C63" s="27" t="n">
        <f aca="false">C59+NPV(Premissas!$B$45,D59:H59)</f>
        <v>188424.9063678</v>
      </c>
    </row>
    <row r="64" customFormat="false" ht="15" hidden="false" customHeight="true" outlineLevel="0" collapsed="false">
      <c r="A64" s="4" t="s">
        <v>117</v>
      </c>
      <c r="C64" s="29" t="n">
        <f aca="false">IFERROR(IRR(C59:H59),-1)</f>
        <v>0.233387300814567</v>
      </c>
    </row>
    <row r="65" customFormat="false" ht="15" hidden="false" customHeight="true" outlineLevel="0" collapsed="false">
      <c r="A65" s="4" t="s">
        <v>118</v>
      </c>
      <c r="C65" s="30" t="n">
        <f aca="false">COUNTIF(C61:H61,"&lt;0")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2026-05-21T10:49:47Z</dcterms:created>
  <dc:creator>openpyxl</dc:creator>
  <dc:description/>
  <dc:language>en-US</dc:language>
  <cp:lastModifiedBy/>
  <dcterms:modified xsi:type="dcterms:W3CDTF">2026-05-21T11:11:29Z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